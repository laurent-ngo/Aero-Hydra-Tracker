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lngo\projects\aero-hydra\doc\"/>
    </mc:Choice>
  </mc:AlternateContent>
  <xr:revisionPtr revIDLastSave="0" documentId="13_ncr:1_{CBE5A232-2605-4805-8163-A9E80F265E05}" xr6:coauthVersionLast="47" xr6:coauthVersionMax="47" xr10:uidLastSave="{00000000-0000-0000-0000-000000000000}"/>
  <bookViews>
    <workbookView xWindow="12855" yWindow="2925" windowWidth="24270" windowHeight="16890" xr2:uid="{0EA86F42-7427-4896-83BC-75805D4D4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1" i="1" l="1"/>
  <c r="G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U5" i="1"/>
  <c r="V5" i="1"/>
  <c r="J25" i="1"/>
  <c r="K25" i="1"/>
  <c r="L25" i="1"/>
  <c r="M25" i="1"/>
  <c r="N25" i="1"/>
  <c r="O25" i="1"/>
  <c r="P25" i="1"/>
  <c r="Q25" i="1"/>
  <c r="R25" i="1"/>
  <c r="J26" i="1"/>
  <c r="K26" i="1"/>
  <c r="L26" i="1"/>
  <c r="M26" i="1"/>
  <c r="N26" i="1"/>
  <c r="O26" i="1"/>
  <c r="P26" i="1"/>
  <c r="Q26" i="1"/>
  <c r="R26" i="1"/>
  <c r="J27" i="1"/>
  <c r="K27" i="1"/>
  <c r="L27" i="1"/>
  <c r="M27" i="1"/>
  <c r="N27" i="1"/>
  <c r="O27" i="1"/>
  <c r="P27" i="1"/>
  <c r="Q27" i="1"/>
  <c r="R27" i="1"/>
  <c r="J28" i="1"/>
  <c r="K28" i="1"/>
  <c r="L28" i="1"/>
  <c r="M28" i="1"/>
  <c r="N28" i="1"/>
  <c r="O28" i="1"/>
  <c r="P28" i="1"/>
  <c r="Q28" i="1"/>
  <c r="R28" i="1"/>
  <c r="K24" i="1"/>
  <c r="L24" i="1"/>
  <c r="M24" i="1"/>
  <c r="N24" i="1"/>
  <c r="O24" i="1"/>
  <c r="P24" i="1"/>
  <c r="Q24" i="1"/>
  <c r="R24" i="1"/>
  <c r="K22" i="1"/>
  <c r="L22" i="1"/>
  <c r="M22" i="1"/>
  <c r="N22" i="1"/>
  <c r="O22" i="1"/>
  <c r="P22" i="1"/>
  <c r="Q22" i="1"/>
  <c r="R22" i="1"/>
  <c r="K23" i="1"/>
  <c r="L23" i="1"/>
  <c r="M23" i="1"/>
  <c r="N23" i="1"/>
  <c r="O23" i="1"/>
  <c r="P23" i="1"/>
  <c r="Q23" i="1"/>
  <c r="R23" i="1"/>
  <c r="J7" i="1"/>
  <c r="K7" i="1"/>
  <c r="L7" i="1"/>
  <c r="M7" i="1"/>
  <c r="N7" i="1"/>
  <c r="O7" i="1"/>
  <c r="P7" i="1"/>
  <c r="Q7" i="1"/>
  <c r="R7" i="1"/>
  <c r="J8" i="1"/>
  <c r="K8" i="1"/>
  <c r="L8" i="1"/>
  <c r="M8" i="1"/>
  <c r="N8" i="1"/>
  <c r="O8" i="1"/>
  <c r="P8" i="1"/>
  <c r="Q8" i="1"/>
  <c r="R8" i="1"/>
  <c r="J9" i="1"/>
  <c r="K9" i="1"/>
  <c r="L9" i="1"/>
  <c r="M9" i="1"/>
  <c r="N9" i="1"/>
  <c r="O9" i="1"/>
  <c r="P9" i="1"/>
  <c r="Q9" i="1"/>
  <c r="R9" i="1"/>
  <c r="J10" i="1"/>
  <c r="K10" i="1"/>
  <c r="L10" i="1"/>
  <c r="M10" i="1"/>
  <c r="N10" i="1"/>
  <c r="O10" i="1"/>
  <c r="P10" i="1"/>
  <c r="Q10" i="1"/>
  <c r="R10" i="1"/>
  <c r="J11" i="1"/>
  <c r="K11" i="1"/>
  <c r="L11" i="1"/>
  <c r="M11" i="1"/>
  <c r="N11" i="1"/>
  <c r="O11" i="1"/>
  <c r="P11" i="1"/>
  <c r="Q11" i="1"/>
  <c r="R11" i="1"/>
  <c r="J12" i="1"/>
  <c r="K12" i="1"/>
  <c r="L12" i="1"/>
  <c r="M12" i="1"/>
  <c r="N12" i="1"/>
  <c r="O12" i="1"/>
  <c r="P12" i="1"/>
  <c r="Q12" i="1"/>
  <c r="R12" i="1"/>
  <c r="J13" i="1"/>
  <c r="K13" i="1"/>
  <c r="L13" i="1"/>
  <c r="M13" i="1"/>
  <c r="N13" i="1"/>
  <c r="O13" i="1"/>
  <c r="P13" i="1"/>
  <c r="Q13" i="1"/>
  <c r="R13" i="1"/>
  <c r="J14" i="1"/>
  <c r="K14" i="1"/>
  <c r="L14" i="1"/>
  <c r="M14" i="1"/>
  <c r="N14" i="1"/>
  <c r="O14" i="1"/>
  <c r="P14" i="1"/>
  <c r="Q14" i="1"/>
  <c r="R14" i="1"/>
  <c r="J15" i="1"/>
  <c r="K15" i="1"/>
  <c r="L15" i="1"/>
  <c r="M15" i="1"/>
  <c r="N15" i="1"/>
  <c r="O15" i="1"/>
  <c r="P15" i="1"/>
  <c r="Q15" i="1"/>
  <c r="R15" i="1"/>
  <c r="J16" i="1"/>
  <c r="K16" i="1"/>
  <c r="L16" i="1"/>
  <c r="M16" i="1"/>
  <c r="N16" i="1"/>
  <c r="O16" i="1"/>
  <c r="P16" i="1"/>
  <c r="Q16" i="1"/>
  <c r="R16" i="1"/>
  <c r="J17" i="1"/>
  <c r="K17" i="1"/>
  <c r="L17" i="1"/>
  <c r="M17" i="1"/>
  <c r="N17" i="1"/>
  <c r="O17" i="1"/>
  <c r="P17" i="1"/>
  <c r="Q17" i="1"/>
  <c r="R17" i="1"/>
  <c r="J18" i="1"/>
  <c r="K18" i="1"/>
  <c r="L18" i="1"/>
  <c r="M18" i="1"/>
  <c r="N18" i="1"/>
  <c r="O18" i="1"/>
  <c r="P18" i="1"/>
  <c r="Q18" i="1"/>
  <c r="R18" i="1"/>
  <c r="J19" i="1"/>
  <c r="K19" i="1"/>
  <c r="L19" i="1"/>
  <c r="M19" i="1"/>
  <c r="N19" i="1"/>
  <c r="O19" i="1"/>
  <c r="P19" i="1"/>
  <c r="Q19" i="1"/>
  <c r="R19" i="1"/>
  <c r="J20" i="1"/>
  <c r="K20" i="1"/>
  <c r="L20" i="1"/>
  <c r="M20" i="1"/>
  <c r="N20" i="1"/>
  <c r="O20" i="1"/>
  <c r="P20" i="1"/>
  <c r="Q20" i="1"/>
  <c r="R20" i="1"/>
  <c r="J21" i="1"/>
  <c r="K21" i="1"/>
  <c r="L21" i="1"/>
  <c r="M21" i="1"/>
  <c r="N21" i="1"/>
  <c r="O21" i="1"/>
  <c r="P21" i="1"/>
  <c r="Q21" i="1"/>
  <c r="R21" i="1"/>
  <c r="K6" i="1"/>
  <c r="L6" i="1"/>
  <c r="M6" i="1"/>
  <c r="N6" i="1"/>
  <c r="O6" i="1"/>
  <c r="P6" i="1"/>
  <c r="Q6" i="1"/>
  <c r="R6" i="1"/>
  <c r="K5" i="1"/>
  <c r="L5" i="1"/>
  <c r="M5" i="1"/>
  <c r="N5" i="1"/>
  <c r="O5" i="1"/>
  <c r="P5" i="1"/>
  <c r="Q5" i="1"/>
  <c r="R5" i="1"/>
  <c r="AI6" i="1"/>
  <c r="AI7" i="1"/>
  <c r="AI8" i="1"/>
  <c r="AI9" i="1"/>
  <c r="AI10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G27" i="1"/>
  <c r="G28" i="1"/>
  <c r="G21" i="1"/>
  <c r="G22" i="1"/>
  <c r="G23" i="1"/>
  <c r="G24" i="1"/>
  <c r="G25" i="1"/>
  <c r="G2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  <c r="AG5" i="1"/>
  <c r="AH5" i="1" s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5" i="1"/>
  <c r="AG3" i="1"/>
  <c r="AH3" i="1" s="1"/>
  <c r="AG4" i="1"/>
  <c r="AH4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G19" i="1"/>
  <c r="AH19" i="1" s="1"/>
  <c r="AG20" i="1"/>
  <c r="AH20" i="1" s="1"/>
  <c r="AG21" i="1"/>
  <c r="AH21" i="1" s="1"/>
  <c r="AG22" i="1"/>
  <c r="AH22" i="1" s="1"/>
  <c r="AG23" i="1"/>
  <c r="AH23" i="1" s="1"/>
  <c r="AG24" i="1"/>
  <c r="AH24" i="1" s="1"/>
  <c r="AG25" i="1"/>
  <c r="AH25" i="1" s="1"/>
  <c r="AG26" i="1"/>
  <c r="AH26" i="1" s="1"/>
  <c r="AG27" i="1"/>
  <c r="AH27" i="1" s="1"/>
  <c r="AG28" i="1"/>
  <c r="AH28" i="1" s="1"/>
  <c r="Y6" i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Z5" i="1"/>
  <c r="Y5" i="1"/>
  <c r="X5" i="1"/>
  <c r="AA5" i="1"/>
  <c r="W4" i="1"/>
  <c r="W6" i="1" s="1"/>
  <c r="I6" i="1"/>
  <c r="J6" i="1"/>
  <c r="X6" i="1"/>
  <c r="AA6" i="1"/>
  <c r="I7" i="1"/>
  <c r="X7" i="1"/>
  <c r="AA7" i="1"/>
  <c r="I8" i="1"/>
  <c r="X8" i="1"/>
  <c r="AA8" i="1"/>
  <c r="I9" i="1"/>
  <c r="X9" i="1"/>
  <c r="AA9" i="1"/>
  <c r="I10" i="1"/>
  <c r="X10" i="1"/>
  <c r="AA10" i="1"/>
  <c r="I11" i="1"/>
  <c r="X11" i="1"/>
  <c r="AA11" i="1"/>
  <c r="I12" i="1"/>
  <c r="X12" i="1"/>
  <c r="AA12" i="1"/>
  <c r="I13" i="1"/>
  <c r="X13" i="1"/>
  <c r="AA13" i="1"/>
  <c r="I14" i="1"/>
  <c r="X14" i="1"/>
  <c r="AA14" i="1"/>
  <c r="I15" i="1"/>
  <c r="X15" i="1"/>
  <c r="AA15" i="1"/>
  <c r="I16" i="1"/>
  <c r="X16" i="1"/>
  <c r="AA16" i="1"/>
  <c r="I17" i="1"/>
  <c r="X17" i="1"/>
  <c r="AA17" i="1"/>
  <c r="I18" i="1"/>
  <c r="X18" i="1"/>
  <c r="AA18" i="1"/>
  <c r="I19" i="1"/>
  <c r="X19" i="1"/>
  <c r="AA19" i="1"/>
  <c r="I20" i="1"/>
  <c r="X20" i="1"/>
  <c r="AA20" i="1"/>
  <c r="I21" i="1"/>
  <c r="X21" i="1"/>
  <c r="AA21" i="1"/>
  <c r="I22" i="1"/>
  <c r="J22" i="1"/>
  <c r="X22" i="1"/>
  <c r="AA22" i="1"/>
  <c r="I23" i="1"/>
  <c r="J23" i="1"/>
  <c r="X23" i="1"/>
  <c r="AA23" i="1"/>
  <c r="I24" i="1"/>
  <c r="J24" i="1"/>
  <c r="X24" i="1"/>
  <c r="AA24" i="1"/>
  <c r="I25" i="1"/>
  <c r="X25" i="1"/>
  <c r="AA25" i="1"/>
  <c r="I26" i="1"/>
  <c r="X26" i="1"/>
  <c r="AA26" i="1"/>
  <c r="I27" i="1"/>
  <c r="X27" i="1"/>
  <c r="AA27" i="1"/>
  <c r="I28" i="1"/>
  <c r="X28" i="1"/>
  <c r="AA28" i="1"/>
  <c r="J5" i="1"/>
  <c r="T5" i="1"/>
  <c r="I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5" i="1"/>
  <c r="W21" i="1" l="1"/>
  <c r="W28" i="1"/>
  <c r="W20" i="1"/>
  <c r="W12" i="1"/>
  <c r="W13" i="1"/>
  <c r="W27" i="1"/>
  <c r="W19" i="1"/>
  <c r="W11" i="1"/>
  <c r="W26" i="1"/>
  <c r="W18" i="1"/>
  <c r="W10" i="1"/>
  <c r="W5" i="1"/>
  <c r="W25" i="1"/>
  <c r="W17" i="1"/>
  <c r="W9" i="1"/>
  <c r="W24" i="1"/>
  <c r="W16" i="1"/>
  <c r="W8" i="1"/>
  <c r="W23" i="1"/>
  <c r="W15" i="1"/>
  <c r="W7" i="1"/>
  <c r="W22" i="1"/>
  <c r="W14" i="1"/>
</calcChain>
</file>

<file path=xl/sharedStrings.xml><?xml version="1.0" encoding="utf-8"?>
<sst xmlns="http://schemas.openxmlformats.org/spreadsheetml/2006/main" count="27" uniqueCount="27">
  <si>
    <t>aircraft nb</t>
  </si>
  <si>
    <t>refresh rate (minutes)</t>
  </si>
  <si>
    <t>API Credit</t>
  </si>
  <si>
    <t>track only</t>
  </si>
  <si>
    <t>track cost</t>
  </si>
  <si>
    <t>state cost</t>
  </si>
  <si>
    <t>active aircrafts</t>
  </si>
  <si>
    <t>hours</t>
  </si>
  <si>
    <t>track</t>
  </si>
  <si>
    <t>state</t>
  </si>
  <si>
    <t>estimated credits</t>
  </si>
  <si>
    <t>call 23 aircrafts every 20 minutes for 13 hours</t>
  </si>
  <si>
    <t>24/02 - migration to new model, runs every 6 minutes until 22:54</t>
  </si>
  <si>
    <t>26/02 - complete day with settings, starting at 7:00 every 3 minutes</t>
  </si>
  <si>
    <t>average active aicrafts</t>
  </si>
  <si>
    <t>% Credit</t>
  </si>
  <si>
    <t>25/02 - complete day with new model, starting at 7:00 until 22:57 every 3 minutes</t>
  </si>
  <si>
    <t>27/02 - no changes (added helicopter to generate traffic)</t>
  </si>
  <si>
    <t>28/02 - no change</t>
  </si>
  <si>
    <t>01/03 - no change</t>
  </si>
  <si>
    <t>02/03 - increased to 1500 km2 to cover the full country</t>
  </si>
  <si>
    <t>no quota exceeded</t>
  </si>
  <si>
    <t>03/03 - trying every 2 minutes to saturate the API (I think track cost is less than 4)</t>
  </si>
  <si>
    <t xml:space="preserve">quota exceeded only on track, state kept working </t>
  </si>
  <si>
    <t>quota exceeded</t>
  </si>
  <si>
    <t>04/03 - trying every 2 minutes removing helicopters</t>
  </si>
  <si>
    <t>05/03 - no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</si>
</sst>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1" xfId="0" applyBorder="1"/>
    <xf numFmtId="0" fontId="0" fillId="0" borderId="21" xfId="0" applyBorder="1"/>
    <xf numFmtId="164" fontId="0" fillId="0" borderId="0" xfId="0" applyNumberFormat="1"/>
    <xf numFmtId="0" fontId="0" fillId="0" borderId="18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6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0" borderId="0" xfId="1" applyNumberFormat="1" applyFont="1"/>
    <xf numFmtId="165" fontId="0" fillId="2" borderId="0" xfId="1" applyNumberFormat="1" applyFont="1" applyFill="1"/>
    <xf numFmtId="0" fontId="0" fillId="3" borderId="0" xfId="0" applyFill="1"/>
    <xf numFmtId="165" fontId="0" fillId="3" borderId="0" xfId="1" applyNumberFormat="1" applyFont="1" applyFill="1"/>
    <xf numFmtId="164" fontId="0" fillId="3" borderId="0" xfId="0" applyNumberFormat="1" applyFill="1"/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CEBA-A3E1-4FF9-80E1-8A6F04397DD8}">
  <dimension ref="A1:AJ28"/>
  <sheetViews>
    <sheetView tabSelected="1" zoomScale="85" zoomScaleNormal="85" workbookViewId="0">
      <selection activeCell="B6" sqref="B6"/>
    </sheetView>
  </sheetViews>
  <sheetFormatPr defaultRowHeight="15" x14ac:dyDescent="0.25"/>
  <cols>
    <col min="1" max="1" width="20.28515625" bestFit="1" customWidth="1"/>
    <col min="5" max="5" width="9.5703125" bestFit="1" customWidth="1"/>
    <col min="29" max="29" width="67.28515625" customWidth="1"/>
    <col min="33" max="33" width="16.28515625" bestFit="1" customWidth="1"/>
    <col min="35" max="35" width="14.7109375" bestFit="1" customWidth="1"/>
    <col min="36" max="36" width="44.85546875" bestFit="1" customWidth="1"/>
  </cols>
  <sheetData>
    <row r="1" spans="1:36" ht="15.75" thickBot="1" x14ac:dyDescent="0.3"/>
    <row r="2" spans="1:36" x14ac:dyDescent="0.25">
      <c r="A2" s="6" t="s">
        <v>0</v>
      </c>
      <c r="B2" s="7">
        <v>23</v>
      </c>
      <c r="D2" s="43" t="s">
        <v>7</v>
      </c>
      <c r="E2" s="39" t="s">
        <v>2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1"/>
      <c r="Z2" s="41"/>
      <c r="AA2" s="42"/>
      <c r="AD2" t="s">
        <v>8</v>
      </c>
      <c r="AE2" t="s">
        <v>9</v>
      </c>
      <c r="AF2" t="s">
        <v>24</v>
      </c>
      <c r="AG2" t="s">
        <v>10</v>
      </c>
      <c r="AH2" t="s">
        <v>15</v>
      </c>
      <c r="AI2" t="s">
        <v>14</v>
      </c>
    </row>
    <row r="3" spans="1:36" ht="15.75" thickBot="1" x14ac:dyDescent="0.3">
      <c r="A3" s="8" t="s">
        <v>1</v>
      </c>
      <c r="B3" s="9">
        <v>2</v>
      </c>
      <c r="D3" s="44"/>
      <c r="E3" s="34" t="s">
        <v>3</v>
      </c>
      <c r="F3" s="36" t="s">
        <v>6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7"/>
      <c r="Z3" s="37"/>
      <c r="AA3" s="38"/>
      <c r="AC3" t="s">
        <v>11</v>
      </c>
      <c r="AD3">
        <v>897</v>
      </c>
      <c r="AE3">
        <v>0</v>
      </c>
      <c r="AG3">
        <f>AD3*$B$4+AE3*$B$5</f>
        <v>1794</v>
      </c>
      <c r="AH3" s="29">
        <f>AG3/4000</f>
        <v>0.44850000000000001</v>
      </c>
    </row>
    <row r="4" spans="1:36" ht="15.75" thickBot="1" x14ac:dyDescent="0.3">
      <c r="A4" s="8" t="s">
        <v>4</v>
      </c>
      <c r="B4" s="9">
        <v>2</v>
      </c>
      <c r="D4" s="45"/>
      <c r="E4" s="35"/>
      <c r="F4" s="16">
        <v>1</v>
      </c>
      <c r="G4" s="16">
        <v>2</v>
      </c>
      <c r="H4" s="16">
        <v>3</v>
      </c>
      <c r="I4" s="16">
        <v>4</v>
      </c>
      <c r="J4" s="16">
        <v>6</v>
      </c>
      <c r="K4" s="16">
        <v>7</v>
      </c>
      <c r="L4" s="16">
        <v>8</v>
      </c>
      <c r="M4" s="16">
        <v>9</v>
      </c>
      <c r="N4" s="16">
        <v>10</v>
      </c>
      <c r="O4" s="16">
        <v>11</v>
      </c>
      <c r="P4" s="16">
        <v>12</v>
      </c>
      <c r="Q4" s="16">
        <v>13</v>
      </c>
      <c r="R4" s="16">
        <v>14</v>
      </c>
      <c r="S4" s="16">
        <v>15</v>
      </c>
      <c r="T4" s="16">
        <v>20</v>
      </c>
      <c r="U4" s="16">
        <v>21</v>
      </c>
      <c r="V4" s="17">
        <v>22</v>
      </c>
      <c r="W4" s="18">
        <f>B2</f>
        <v>23</v>
      </c>
      <c r="X4" s="19">
        <v>25</v>
      </c>
      <c r="Y4" s="16">
        <v>30</v>
      </c>
      <c r="Z4" s="16">
        <v>35</v>
      </c>
      <c r="AA4" s="11">
        <v>40</v>
      </c>
      <c r="AC4" t="s">
        <v>12</v>
      </c>
      <c r="AD4">
        <v>211</v>
      </c>
      <c r="AE4">
        <v>117</v>
      </c>
      <c r="AG4">
        <f t="shared" ref="AG4:AG28" si="0">AD4*$B$4+AE4*$B$5</f>
        <v>890</v>
      </c>
      <c r="AH4" s="29">
        <f t="shared" ref="AH4:AH28" si="1">AG4/4000</f>
        <v>0.2225</v>
      </c>
      <c r="AI4" s="20"/>
    </row>
    <row r="5" spans="1:36" ht="15.75" thickBot="1" x14ac:dyDescent="0.3">
      <c r="A5" s="10" t="s">
        <v>5</v>
      </c>
      <c r="B5" s="11">
        <v>4</v>
      </c>
      <c r="D5" s="23">
        <v>0</v>
      </c>
      <c r="E5" s="24">
        <f>$B$2*$B$4*((D5+1)*(60/$B$3))</f>
        <v>1380</v>
      </c>
      <c r="F5" s="21">
        <f>$B$5*($D5+1)*(60/$B$3) + $B$4*($D5+1)*(60/$B$3) *F$4</f>
        <v>180</v>
      </c>
      <c r="G5" s="21">
        <f>$B$5*($D5+1)*(60/$B$3) + $B$4*($D5+1)*(60/$B$3) *G$4</f>
        <v>240</v>
      </c>
      <c r="H5" s="21">
        <f>$B$5*($D5+1)*(60/$B$3) + $B$4*($D5+1)*(60/$B$3) *H$4</f>
        <v>300</v>
      </c>
      <c r="I5" s="21">
        <f>$B$5*($D5+1)*(60/$B$3) + $B$4*($D5+1)*(60/$B$3) *I$4</f>
        <v>360</v>
      </c>
      <c r="J5" s="21">
        <f t="shared" ref="J5:AA20" si="2">$B$5*($D5+1)*(60/$B$3) + $B$4*($D5+1)*(60/$B$3) *J$4</f>
        <v>480</v>
      </c>
      <c r="K5" s="21">
        <f t="shared" si="2"/>
        <v>540</v>
      </c>
      <c r="L5" s="21">
        <f t="shared" si="2"/>
        <v>600</v>
      </c>
      <c r="M5" s="21">
        <f t="shared" si="2"/>
        <v>660</v>
      </c>
      <c r="N5" s="21">
        <f t="shared" si="2"/>
        <v>720</v>
      </c>
      <c r="O5" s="21">
        <f t="shared" si="2"/>
        <v>780</v>
      </c>
      <c r="P5" s="21">
        <f t="shared" si="2"/>
        <v>840</v>
      </c>
      <c r="Q5" s="21">
        <f t="shared" si="2"/>
        <v>900</v>
      </c>
      <c r="R5" s="21">
        <f t="shared" si="2"/>
        <v>960</v>
      </c>
      <c r="S5" s="21">
        <f t="shared" si="2"/>
        <v>1020</v>
      </c>
      <c r="T5" s="21">
        <f t="shared" si="2"/>
        <v>1320</v>
      </c>
      <c r="U5" s="21">
        <f t="shared" ref="U5:V20" si="3">$B$5*($D5+1)*(60/$B$3) + $B$4*($D5+1)*(60/$B$3) *U$4</f>
        <v>1380</v>
      </c>
      <c r="V5" s="22">
        <f t="shared" si="3"/>
        <v>1440</v>
      </c>
      <c r="W5" s="23">
        <f t="shared" si="2"/>
        <v>1500</v>
      </c>
      <c r="X5" s="24">
        <f>$B$5*($D5+1)*(60/$B$3) + $B$4*($D5+1)*(60/$B$3) *X$4</f>
        <v>1620</v>
      </c>
      <c r="Y5" s="21">
        <f>$B$5*($D5+1)*(60/$B$3) + $B$4*($D5+1)*(60/$B$3) *Y$4</f>
        <v>1920</v>
      </c>
      <c r="Z5" s="21">
        <f>$B$5*($D5+1)*(60/$B$3) + $B$4*($D5+1)*(60/$B$3) *Z$4</f>
        <v>2220</v>
      </c>
      <c r="AA5" s="7">
        <f>$B$5*($D5+1)*(60/$B$3) + $B$4*($D5+1)*(60/$B$3) *AA$4</f>
        <v>2520</v>
      </c>
      <c r="AC5" t="s">
        <v>16</v>
      </c>
      <c r="AD5">
        <v>224</v>
      </c>
      <c r="AE5">
        <v>299</v>
      </c>
      <c r="AG5">
        <f>AD5*$B$4+AE5*$B$5</f>
        <v>1644</v>
      </c>
      <c r="AH5" s="29">
        <f t="shared" si="1"/>
        <v>0.41099999999999998</v>
      </c>
      <c r="AI5" s="20">
        <f>AD5/AE5</f>
        <v>0.74916387959866215</v>
      </c>
    </row>
    <row r="6" spans="1:36" x14ac:dyDescent="0.25">
      <c r="D6" s="4">
        <v>1</v>
      </c>
      <c r="E6" s="3">
        <f t="shared" ref="E6:E28" si="4">$B$2*$B$4*((D6+1)*(60/$B$3))</f>
        <v>2760</v>
      </c>
      <c r="F6" s="1">
        <f t="shared" ref="F6:AA28" si="5">$B$5*($D6+1)*(60/$B$3) + $B$4*($D6+1)*(60/$B$3) *F$4</f>
        <v>360</v>
      </c>
      <c r="G6" s="1">
        <f t="shared" si="5"/>
        <v>480</v>
      </c>
      <c r="H6" s="1">
        <f t="shared" si="5"/>
        <v>600</v>
      </c>
      <c r="I6" s="1">
        <f t="shared" si="5"/>
        <v>720</v>
      </c>
      <c r="J6" s="1">
        <f t="shared" si="2"/>
        <v>960</v>
      </c>
      <c r="K6" s="1">
        <f t="shared" si="2"/>
        <v>1080</v>
      </c>
      <c r="L6" s="1">
        <f t="shared" si="2"/>
        <v>1200</v>
      </c>
      <c r="M6" s="1">
        <f t="shared" si="2"/>
        <v>1320</v>
      </c>
      <c r="N6" s="1">
        <f t="shared" si="2"/>
        <v>1440</v>
      </c>
      <c r="O6" s="1">
        <f t="shared" si="2"/>
        <v>1560</v>
      </c>
      <c r="P6" s="1">
        <f t="shared" si="2"/>
        <v>1680</v>
      </c>
      <c r="Q6" s="1">
        <f t="shared" si="2"/>
        <v>1800</v>
      </c>
      <c r="R6" s="1">
        <f t="shared" si="2"/>
        <v>1920</v>
      </c>
      <c r="S6" s="1">
        <f t="shared" si="2"/>
        <v>2040</v>
      </c>
      <c r="T6" s="1">
        <f t="shared" ref="T6:V28" si="6">$B$5*($D6+1)*(60/$B$3) + $B$4*($D6+1)*(60/$B$3) *T$4</f>
        <v>2640</v>
      </c>
      <c r="U6" s="1">
        <f t="shared" si="3"/>
        <v>2760</v>
      </c>
      <c r="V6" s="2">
        <f t="shared" si="3"/>
        <v>2880</v>
      </c>
      <c r="W6" s="4">
        <f t="shared" si="2"/>
        <v>3000</v>
      </c>
      <c r="X6" s="3">
        <f t="shared" si="2"/>
        <v>3240</v>
      </c>
      <c r="Y6" s="1">
        <f t="shared" si="2"/>
        <v>3840</v>
      </c>
      <c r="Z6" s="1">
        <f t="shared" si="2"/>
        <v>4440</v>
      </c>
      <c r="AA6" s="9">
        <f t="shared" si="2"/>
        <v>5040</v>
      </c>
      <c r="AC6" t="s">
        <v>13</v>
      </c>
      <c r="AD6">
        <v>46</v>
      </c>
      <c r="AE6">
        <v>340</v>
      </c>
      <c r="AG6">
        <f t="shared" si="0"/>
        <v>1452</v>
      </c>
      <c r="AH6" s="29">
        <f t="shared" si="1"/>
        <v>0.36299999999999999</v>
      </c>
      <c r="AI6" s="20">
        <f t="shared" ref="AI6:AI28" si="7">AD6/AE6</f>
        <v>0.13529411764705881</v>
      </c>
    </row>
    <row r="7" spans="1:36" x14ac:dyDescent="0.25">
      <c r="D7" s="4">
        <v>2</v>
      </c>
      <c r="E7" s="3">
        <f t="shared" si="4"/>
        <v>4140</v>
      </c>
      <c r="F7" s="1">
        <f t="shared" si="5"/>
        <v>540</v>
      </c>
      <c r="G7" s="1">
        <f t="shared" si="5"/>
        <v>720</v>
      </c>
      <c r="H7" s="1">
        <f t="shared" si="5"/>
        <v>900</v>
      </c>
      <c r="I7" s="1">
        <f t="shared" si="5"/>
        <v>1080</v>
      </c>
      <c r="J7" s="1">
        <f t="shared" si="2"/>
        <v>1440</v>
      </c>
      <c r="K7" s="1">
        <f t="shared" si="2"/>
        <v>1620</v>
      </c>
      <c r="L7" s="1">
        <f t="shared" si="2"/>
        <v>1800</v>
      </c>
      <c r="M7" s="1">
        <f t="shared" si="2"/>
        <v>1980</v>
      </c>
      <c r="N7" s="1">
        <f t="shared" si="2"/>
        <v>2160</v>
      </c>
      <c r="O7" s="1">
        <f t="shared" si="2"/>
        <v>2340</v>
      </c>
      <c r="P7" s="1">
        <f t="shared" si="2"/>
        <v>2520</v>
      </c>
      <c r="Q7" s="1">
        <f t="shared" si="2"/>
        <v>2700</v>
      </c>
      <c r="R7" s="1">
        <f t="shared" si="2"/>
        <v>2880</v>
      </c>
      <c r="S7" s="1">
        <f t="shared" si="2"/>
        <v>3060</v>
      </c>
      <c r="T7" s="1">
        <f t="shared" si="6"/>
        <v>3960</v>
      </c>
      <c r="U7" s="1">
        <f t="shared" si="3"/>
        <v>4140</v>
      </c>
      <c r="V7" s="2">
        <f t="shared" si="3"/>
        <v>4320</v>
      </c>
      <c r="W7" s="4">
        <f t="shared" si="2"/>
        <v>4500</v>
      </c>
      <c r="X7" s="3">
        <f t="shared" si="2"/>
        <v>4860</v>
      </c>
      <c r="Y7" s="1">
        <f t="shared" si="2"/>
        <v>5760</v>
      </c>
      <c r="Z7" s="1">
        <f t="shared" si="2"/>
        <v>6660</v>
      </c>
      <c r="AA7" s="9">
        <f t="shared" si="2"/>
        <v>7560</v>
      </c>
      <c r="AC7" s="26" t="s">
        <v>17</v>
      </c>
      <c r="AD7">
        <v>312</v>
      </c>
      <c r="AE7">
        <v>340</v>
      </c>
      <c r="AG7">
        <f t="shared" si="0"/>
        <v>1984</v>
      </c>
      <c r="AH7" s="29">
        <f t="shared" si="1"/>
        <v>0.496</v>
      </c>
      <c r="AI7" s="20">
        <f t="shared" si="7"/>
        <v>0.91764705882352937</v>
      </c>
    </row>
    <row r="8" spans="1:36" x14ac:dyDescent="0.25">
      <c r="D8" s="4">
        <v>3</v>
      </c>
      <c r="E8" s="3">
        <f t="shared" si="4"/>
        <v>5520</v>
      </c>
      <c r="F8" s="1">
        <f t="shared" si="5"/>
        <v>720</v>
      </c>
      <c r="G8" s="1">
        <f t="shared" si="5"/>
        <v>960</v>
      </c>
      <c r="H8" s="1">
        <f t="shared" si="5"/>
        <v>1200</v>
      </c>
      <c r="I8" s="1">
        <f t="shared" si="5"/>
        <v>1440</v>
      </c>
      <c r="J8" s="1">
        <f t="shared" si="2"/>
        <v>1920</v>
      </c>
      <c r="K8" s="1">
        <f t="shared" si="2"/>
        <v>2160</v>
      </c>
      <c r="L8" s="1">
        <f t="shared" si="2"/>
        <v>2400</v>
      </c>
      <c r="M8" s="1">
        <f t="shared" si="2"/>
        <v>2640</v>
      </c>
      <c r="N8" s="1">
        <f t="shared" si="2"/>
        <v>2880</v>
      </c>
      <c r="O8" s="1">
        <f t="shared" si="2"/>
        <v>3120</v>
      </c>
      <c r="P8" s="1">
        <f t="shared" si="2"/>
        <v>3360</v>
      </c>
      <c r="Q8" s="1">
        <f t="shared" si="2"/>
        <v>3600</v>
      </c>
      <c r="R8" s="1">
        <f t="shared" si="2"/>
        <v>3840</v>
      </c>
      <c r="S8" s="1">
        <f t="shared" si="2"/>
        <v>4080</v>
      </c>
      <c r="T8" s="1">
        <f t="shared" si="6"/>
        <v>5280</v>
      </c>
      <c r="U8" s="1">
        <f t="shared" si="3"/>
        <v>5520</v>
      </c>
      <c r="V8" s="2">
        <f t="shared" si="3"/>
        <v>5760</v>
      </c>
      <c r="W8" s="4">
        <f t="shared" si="2"/>
        <v>6000</v>
      </c>
      <c r="X8" s="3">
        <f t="shared" si="2"/>
        <v>6480</v>
      </c>
      <c r="Y8" s="1">
        <f t="shared" si="2"/>
        <v>7680</v>
      </c>
      <c r="Z8" s="1">
        <f t="shared" si="2"/>
        <v>8880</v>
      </c>
      <c r="AA8" s="9">
        <f t="shared" si="2"/>
        <v>10080</v>
      </c>
      <c r="AC8" s="26" t="s">
        <v>18</v>
      </c>
      <c r="AD8">
        <v>292</v>
      </c>
      <c r="AE8">
        <v>340</v>
      </c>
      <c r="AG8">
        <f t="shared" si="0"/>
        <v>1944</v>
      </c>
      <c r="AH8" s="29">
        <f t="shared" si="1"/>
        <v>0.48599999999999999</v>
      </c>
      <c r="AI8" s="20">
        <f t="shared" si="7"/>
        <v>0.85882352941176465</v>
      </c>
    </row>
    <row r="9" spans="1:36" x14ac:dyDescent="0.25">
      <c r="D9" s="4">
        <v>4</v>
      </c>
      <c r="E9" s="3">
        <f t="shared" si="4"/>
        <v>6900</v>
      </c>
      <c r="F9" s="1">
        <f t="shared" si="5"/>
        <v>900</v>
      </c>
      <c r="G9" s="1">
        <f t="shared" si="5"/>
        <v>1200</v>
      </c>
      <c r="H9" s="1">
        <f t="shared" si="5"/>
        <v>1500</v>
      </c>
      <c r="I9" s="1">
        <f t="shared" si="5"/>
        <v>1800</v>
      </c>
      <c r="J9" s="1">
        <f t="shared" si="2"/>
        <v>2400</v>
      </c>
      <c r="K9" s="1">
        <f t="shared" si="2"/>
        <v>2700</v>
      </c>
      <c r="L9" s="1">
        <f t="shared" si="2"/>
        <v>3000</v>
      </c>
      <c r="M9" s="1">
        <f t="shared" si="2"/>
        <v>3300</v>
      </c>
      <c r="N9" s="1">
        <f t="shared" si="2"/>
        <v>3600</v>
      </c>
      <c r="O9" s="1">
        <f t="shared" si="2"/>
        <v>3900</v>
      </c>
      <c r="P9" s="1">
        <f t="shared" si="2"/>
        <v>4200</v>
      </c>
      <c r="Q9" s="1">
        <f t="shared" si="2"/>
        <v>4500</v>
      </c>
      <c r="R9" s="1">
        <f t="shared" si="2"/>
        <v>4800</v>
      </c>
      <c r="S9" s="1">
        <f t="shared" si="2"/>
        <v>5100</v>
      </c>
      <c r="T9" s="1">
        <f t="shared" si="6"/>
        <v>6600</v>
      </c>
      <c r="U9" s="1">
        <f t="shared" si="3"/>
        <v>6900</v>
      </c>
      <c r="V9" s="2">
        <f t="shared" si="3"/>
        <v>7200</v>
      </c>
      <c r="W9" s="4">
        <f t="shared" si="2"/>
        <v>7500</v>
      </c>
      <c r="X9" s="3">
        <f t="shared" si="2"/>
        <v>8100</v>
      </c>
      <c r="Y9" s="1">
        <f t="shared" si="2"/>
        <v>9600</v>
      </c>
      <c r="Z9" s="1">
        <f t="shared" si="2"/>
        <v>11100</v>
      </c>
      <c r="AA9" s="9">
        <f t="shared" si="2"/>
        <v>12600</v>
      </c>
      <c r="AC9" t="s">
        <v>19</v>
      </c>
      <c r="AD9">
        <v>239</v>
      </c>
      <c r="AE9">
        <v>340</v>
      </c>
      <c r="AG9">
        <f t="shared" si="0"/>
        <v>1838</v>
      </c>
      <c r="AH9" s="29">
        <f t="shared" si="1"/>
        <v>0.45950000000000002</v>
      </c>
      <c r="AI9" s="20">
        <f t="shared" si="7"/>
        <v>0.70294117647058818</v>
      </c>
    </row>
    <row r="10" spans="1:36" x14ac:dyDescent="0.25">
      <c r="D10" s="4">
        <v>5</v>
      </c>
      <c r="E10" s="3">
        <f t="shared" si="4"/>
        <v>8280</v>
      </c>
      <c r="F10" s="1">
        <f t="shared" si="5"/>
        <v>1080</v>
      </c>
      <c r="G10" s="1">
        <f t="shared" si="5"/>
        <v>1440</v>
      </c>
      <c r="H10" s="1">
        <f t="shared" si="5"/>
        <v>1800</v>
      </c>
      <c r="I10" s="1">
        <f t="shared" si="5"/>
        <v>2160</v>
      </c>
      <c r="J10" s="1">
        <f t="shared" si="2"/>
        <v>2880</v>
      </c>
      <c r="K10" s="1">
        <f t="shared" si="2"/>
        <v>3240</v>
      </c>
      <c r="L10" s="1">
        <f t="shared" si="2"/>
        <v>3600</v>
      </c>
      <c r="M10" s="1">
        <f t="shared" si="2"/>
        <v>3960</v>
      </c>
      <c r="N10" s="1">
        <f t="shared" si="2"/>
        <v>4320</v>
      </c>
      <c r="O10" s="1">
        <f t="shared" si="2"/>
        <v>4680</v>
      </c>
      <c r="P10" s="1">
        <f t="shared" si="2"/>
        <v>5040</v>
      </c>
      <c r="Q10" s="1">
        <f t="shared" si="2"/>
        <v>5400</v>
      </c>
      <c r="R10" s="1">
        <f t="shared" si="2"/>
        <v>5760</v>
      </c>
      <c r="S10" s="1">
        <f t="shared" si="2"/>
        <v>6120</v>
      </c>
      <c r="T10" s="1">
        <f t="shared" si="6"/>
        <v>7920</v>
      </c>
      <c r="U10" s="1">
        <f t="shared" si="3"/>
        <v>8280</v>
      </c>
      <c r="V10" s="2">
        <f t="shared" si="3"/>
        <v>8640</v>
      </c>
      <c r="W10" s="4">
        <f t="shared" si="2"/>
        <v>9000</v>
      </c>
      <c r="X10" s="3">
        <f t="shared" si="2"/>
        <v>9720</v>
      </c>
      <c r="Y10" s="1">
        <f t="shared" si="2"/>
        <v>11520</v>
      </c>
      <c r="Z10" s="1">
        <f t="shared" si="2"/>
        <v>13320</v>
      </c>
      <c r="AA10" s="9">
        <f t="shared" si="2"/>
        <v>15120</v>
      </c>
      <c r="AC10" s="27" t="s">
        <v>20</v>
      </c>
      <c r="AD10" s="27">
        <v>748</v>
      </c>
      <c r="AE10" s="27">
        <v>340</v>
      </c>
      <c r="AF10" s="27"/>
      <c r="AG10" s="27">
        <f t="shared" si="0"/>
        <v>2856</v>
      </c>
      <c r="AH10" s="30">
        <f t="shared" si="1"/>
        <v>0.71399999999999997</v>
      </c>
      <c r="AI10" s="28">
        <f t="shared" si="7"/>
        <v>2.2000000000000002</v>
      </c>
      <c r="AJ10" s="27" t="s">
        <v>21</v>
      </c>
    </row>
    <row r="11" spans="1:36" x14ac:dyDescent="0.25">
      <c r="D11" s="4">
        <v>6</v>
      </c>
      <c r="E11" s="3">
        <f t="shared" si="4"/>
        <v>9660</v>
      </c>
      <c r="F11" s="1">
        <f t="shared" si="5"/>
        <v>1260</v>
      </c>
      <c r="G11" s="1">
        <f t="shared" si="5"/>
        <v>1680</v>
      </c>
      <c r="H11" s="1">
        <f t="shared" si="5"/>
        <v>2100</v>
      </c>
      <c r="I11" s="1">
        <f t="shared" si="5"/>
        <v>2520</v>
      </c>
      <c r="J11" s="1">
        <f t="shared" si="2"/>
        <v>3360</v>
      </c>
      <c r="K11" s="1">
        <f t="shared" si="2"/>
        <v>3780</v>
      </c>
      <c r="L11" s="1">
        <f t="shared" si="2"/>
        <v>4200</v>
      </c>
      <c r="M11" s="1">
        <f t="shared" si="2"/>
        <v>4620</v>
      </c>
      <c r="N11" s="1">
        <f t="shared" si="2"/>
        <v>5040</v>
      </c>
      <c r="O11" s="1">
        <f t="shared" si="2"/>
        <v>5460</v>
      </c>
      <c r="P11" s="1">
        <f t="shared" si="2"/>
        <v>5880</v>
      </c>
      <c r="Q11" s="1">
        <f t="shared" si="2"/>
        <v>6300</v>
      </c>
      <c r="R11" s="1">
        <f t="shared" si="2"/>
        <v>6720</v>
      </c>
      <c r="S11" s="1">
        <f t="shared" si="2"/>
        <v>7140</v>
      </c>
      <c r="T11" s="1">
        <f t="shared" si="6"/>
        <v>9240</v>
      </c>
      <c r="U11" s="1">
        <f t="shared" si="3"/>
        <v>9660</v>
      </c>
      <c r="V11" s="2">
        <f t="shared" si="3"/>
        <v>10080</v>
      </c>
      <c r="W11" s="4">
        <f t="shared" si="2"/>
        <v>10500</v>
      </c>
      <c r="X11" s="3">
        <f t="shared" si="2"/>
        <v>11340</v>
      </c>
      <c r="Y11" s="1">
        <f t="shared" si="2"/>
        <v>13440</v>
      </c>
      <c r="Z11" s="1">
        <f t="shared" si="2"/>
        <v>15540</v>
      </c>
      <c r="AA11" s="9">
        <f t="shared" si="2"/>
        <v>17640</v>
      </c>
      <c r="AC11" s="31" t="s">
        <v>22</v>
      </c>
      <c r="AD11" s="31">
        <v>1267</v>
      </c>
      <c r="AE11" s="31">
        <v>575</v>
      </c>
      <c r="AF11" s="31">
        <v>191</v>
      </c>
      <c r="AG11" s="31">
        <f t="shared" si="0"/>
        <v>4834</v>
      </c>
      <c r="AH11" s="32">
        <f t="shared" si="1"/>
        <v>1.2084999999999999</v>
      </c>
      <c r="AI11" s="33">
        <f>(AD11-AF11)/AE11</f>
        <v>1.8713043478260869</v>
      </c>
      <c r="AJ11" s="31" t="s">
        <v>23</v>
      </c>
    </row>
    <row r="12" spans="1:36" x14ac:dyDescent="0.25">
      <c r="D12" s="4">
        <v>7</v>
      </c>
      <c r="E12" s="3">
        <f t="shared" si="4"/>
        <v>11040</v>
      </c>
      <c r="F12" s="1">
        <f t="shared" si="5"/>
        <v>1440</v>
      </c>
      <c r="G12" s="1">
        <f t="shared" si="5"/>
        <v>1920</v>
      </c>
      <c r="H12" s="1">
        <f t="shared" si="5"/>
        <v>2400</v>
      </c>
      <c r="I12" s="1">
        <f t="shared" si="5"/>
        <v>2880</v>
      </c>
      <c r="J12" s="1">
        <f t="shared" si="2"/>
        <v>3840</v>
      </c>
      <c r="K12" s="1">
        <f t="shared" si="2"/>
        <v>4320</v>
      </c>
      <c r="L12" s="1">
        <f t="shared" si="2"/>
        <v>4800</v>
      </c>
      <c r="M12" s="1">
        <f t="shared" si="2"/>
        <v>5280</v>
      </c>
      <c r="N12" s="1">
        <f t="shared" si="2"/>
        <v>5760</v>
      </c>
      <c r="O12" s="1">
        <f t="shared" si="2"/>
        <v>6240</v>
      </c>
      <c r="P12" s="1">
        <f t="shared" si="2"/>
        <v>6720</v>
      </c>
      <c r="Q12" s="1">
        <f t="shared" si="2"/>
        <v>7200</v>
      </c>
      <c r="R12" s="1">
        <f t="shared" si="2"/>
        <v>7680</v>
      </c>
      <c r="S12" s="1">
        <f t="shared" si="2"/>
        <v>8160</v>
      </c>
      <c r="T12" s="1">
        <f t="shared" si="6"/>
        <v>10560</v>
      </c>
      <c r="U12" s="1">
        <f t="shared" si="3"/>
        <v>11040</v>
      </c>
      <c r="V12" s="2">
        <f t="shared" si="3"/>
        <v>11520</v>
      </c>
      <c r="W12" s="4">
        <f t="shared" si="2"/>
        <v>12000</v>
      </c>
      <c r="X12" s="3">
        <f t="shared" si="2"/>
        <v>12960</v>
      </c>
      <c r="Y12" s="1">
        <f t="shared" si="2"/>
        <v>15360</v>
      </c>
      <c r="Z12" s="1">
        <f t="shared" si="2"/>
        <v>17760</v>
      </c>
      <c r="AA12" s="9">
        <f t="shared" si="2"/>
        <v>20160</v>
      </c>
      <c r="AC12" t="s">
        <v>25</v>
      </c>
      <c r="AD12">
        <v>485</v>
      </c>
      <c r="AE12">
        <v>510</v>
      </c>
      <c r="AG12">
        <f t="shared" si="0"/>
        <v>3010</v>
      </c>
      <c r="AH12" s="29">
        <f t="shared" si="1"/>
        <v>0.75249999999999995</v>
      </c>
      <c r="AI12" s="20">
        <f t="shared" si="7"/>
        <v>0.9509803921568627</v>
      </c>
    </row>
    <row r="13" spans="1:36" x14ac:dyDescent="0.25">
      <c r="D13" s="4">
        <v>8</v>
      </c>
      <c r="E13" s="3">
        <f t="shared" si="4"/>
        <v>12420</v>
      </c>
      <c r="F13" s="1">
        <f t="shared" si="5"/>
        <v>1620</v>
      </c>
      <c r="G13" s="1">
        <f t="shared" si="5"/>
        <v>2160</v>
      </c>
      <c r="H13" s="1">
        <f t="shared" si="5"/>
        <v>2700</v>
      </c>
      <c r="I13" s="1">
        <f t="shared" si="5"/>
        <v>3240</v>
      </c>
      <c r="J13" s="1">
        <f t="shared" si="2"/>
        <v>4320</v>
      </c>
      <c r="K13" s="1">
        <f t="shared" si="2"/>
        <v>4860</v>
      </c>
      <c r="L13" s="1">
        <f t="shared" si="2"/>
        <v>5400</v>
      </c>
      <c r="M13" s="1">
        <f t="shared" si="2"/>
        <v>5940</v>
      </c>
      <c r="N13" s="1">
        <f t="shared" si="2"/>
        <v>6480</v>
      </c>
      <c r="O13" s="1">
        <f t="shared" si="2"/>
        <v>7020</v>
      </c>
      <c r="P13" s="1">
        <f t="shared" si="2"/>
        <v>7560</v>
      </c>
      <c r="Q13" s="1">
        <f t="shared" si="2"/>
        <v>8100</v>
      </c>
      <c r="R13" s="1">
        <f t="shared" si="2"/>
        <v>8640</v>
      </c>
      <c r="S13" s="1">
        <f t="shared" si="2"/>
        <v>9180</v>
      </c>
      <c r="T13" s="1">
        <f t="shared" si="6"/>
        <v>11880</v>
      </c>
      <c r="U13" s="1">
        <f t="shared" si="3"/>
        <v>12420</v>
      </c>
      <c r="V13" s="2">
        <f t="shared" si="3"/>
        <v>12960</v>
      </c>
      <c r="W13" s="4">
        <f t="shared" si="2"/>
        <v>13500</v>
      </c>
      <c r="X13" s="3">
        <f t="shared" si="2"/>
        <v>14580</v>
      </c>
      <c r="Y13" s="1">
        <f t="shared" si="2"/>
        <v>17280</v>
      </c>
      <c r="Z13" s="1">
        <f t="shared" si="2"/>
        <v>19980</v>
      </c>
      <c r="AA13" s="9">
        <f t="shared" si="2"/>
        <v>22680</v>
      </c>
      <c r="AC13" t="s">
        <v>26</v>
      </c>
      <c r="AD13">
        <v>674</v>
      </c>
      <c r="AE13">
        <v>510</v>
      </c>
      <c r="AG13">
        <f t="shared" si="0"/>
        <v>3388</v>
      </c>
      <c r="AH13" s="29">
        <f t="shared" si="1"/>
        <v>0.84699999999999998</v>
      </c>
      <c r="AI13" s="20">
        <f t="shared" si="7"/>
        <v>1.3215686274509804</v>
      </c>
    </row>
    <row r="14" spans="1:36" x14ac:dyDescent="0.25">
      <c r="D14" s="4">
        <v>9</v>
      </c>
      <c r="E14" s="3">
        <f t="shared" si="4"/>
        <v>13800</v>
      </c>
      <c r="F14" s="1">
        <f t="shared" si="5"/>
        <v>1800</v>
      </c>
      <c r="G14" s="1">
        <f t="shared" si="5"/>
        <v>2400</v>
      </c>
      <c r="H14" s="1">
        <f t="shared" si="5"/>
        <v>3000</v>
      </c>
      <c r="I14" s="1">
        <f t="shared" si="5"/>
        <v>3600</v>
      </c>
      <c r="J14" s="1">
        <f t="shared" si="2"/>
        <v>4800</v>
      </c>
      <c r="K14" s="1">
        <f t="shared" si="2"/>
        <v>5400</v>
      </c>
      <c r="L14" s="1">
        <f t="shared" si="2"/>
        <v>6000</v>
      </c>
      <c r="M14" s="1">
        <f t="shared" si="2"/>
        <v>6600</v>
      </c>
      <c r="N14" s="1">
        <f t="shared" si="2"/>
        <v>7200</v>
      </c>
      <c r="O14" s="1">
        <f t="shared" si="2"/>
        <v>7800</v>
      </c>
      <c r="P14" s="1">
        <f t="shared" si="2"/>
        <v>8400</v>
      </c>
      <c r="Q14" s="1">
        <f t="shared" si="2"/>
        <v>9000</v>
      </c>
      <c r="R14" s="1">
        <f t="shared" si="2"/>
        <v>9600</v>
      </c>
      <c r="S14" s="1">
        <f t="shared" si="2"/>
        <v>10200</v>
      </c>
      <c r="T14" s="1">
        <f t="shared" si="6"/>
        <v>13200</v>
      </c>
      <c r="U14" s="1">
        <f t="shared" si="3"/>
        <v>13800</v>
      </c>
      <c r="V14" s="2">
        <f t="shared" si="3"/>
        <v>14400</v>
      </c>
      <c r="W14" s="4">
        <f t="shared" si="2"/>
        <v>15000</v>
      </c>
      <c r="X14" s="3">
        <f t="shared" si="2"/>
        <v>16200</v>
      </c>
      <c r="Y14" s="1">
        <f t="shared" si="2"/>
        <v>19200</v>
      </c>
      <c r="Z14" s="1">
        <f t="shared" si="2"/>
        <v>22200</v>
      </c>
      <c r="AA14" s="9">
        <f t="shared" si="2"/>
        <v>25200</v>
      </c>
      <c r="AG14">
        <f t="shared" si="0"/>
        <v>0</v>
      </c>
      <c r="AH14" s="29">
        <f t="shared" si="1"/>
        <v>0</v>
      </c>
      <c r="AI14" s="20" t="e">
        <f t="shared" si="7"/>
        <v>#DIV/0!</v>
      </c>
    </row>
    <row r="15" spans="1:36" x14ac:dyDescent="0.25">
      <c r="D15" s="4">
        <v>10</v>
      </c>
      <c r="E15" s="3">
        <f t="shared" si="4"/>
        <v>15180</v>
      </c>
      <c r="F15" s="1">
        <f t="shared" si="5"/>
        <v>1980</v>
      </c>
      <c r="G15" s="1">
        <f t="shared" si="5"/>
        <v>2640</v>
      </c>
      <c r="H15" s="1">
        <f t="shared" si="5"/>
        <v>3300</v>
      </c>
      <c r="I15" s="1">
        <f t="shared" si="5"/>
        <v>3960</v>
      </c>
      <c r="J15" s="1">
        <f t="shared" si="2"/>
        <v>5280</v>
      </c>
      <c r="K15" s="1">
        <f t="shared" si="2"/>
        <v>5940</v>
      </c>
      <c r="L15" s="1">
        <f t="shared" si="2"/>
        <v>6600</v>
      </c>
      <c r="M15" s="1">
        <f t="shared" si="2"/>
        <v>7260</v>
      </c>
      <c r="N15" s="1">
        <f t="shared" si="2"/>
        <v>7920</v>
      </c>
      <c r="O15" s="1">
        <f t="shared" si="2"/>
        <v>8580</v>
      </c>
      <c r="P15" s="1">
        <f t="shared" si="2"/>
        <v>9240</v>
      </c>
      <c r="Q15" s="1">
        <f t="shared" si="2"/>
        <v>9900</v>
      </c>
      <c r="R15" s="1">
        <f t="shared" si="2"/>
        <v>10560</v>
      </c>
      <c r="S15" s="1">
        <f t="shared" si="2"/>
        <v>11220</v>
      </c>
      <c r="T15" s="1">
        <f t="shared" si="6"/>
        <v>14520</v>
      </c>
      <c r="U15" s="1">
        <f t="shared" si="3"/>
        <v>15180</v>
      </c>
      <c r="V15" s="2">
        <f t="shared" si="3"/>
        <v>15840</v>
      </c>
      <c r="W15" s="4">
        <f t="shared" si="2"/>
        <v>16500</v>
      </c>
      <c r="X15" s="3">
        <f t="shared" si="2"/>
        <v>17820</v>
      </c>
      <c r="Y15" s="1">
        <f t="shared" si="2"/>
        <v>21120</v>
      </c>
      <c r="Z15" s="1">
        <f t="shared" si="2"/>
        <v>24420</v>
      </c>
      <c r="AA15" s="9">
        <f t="shared" si="2"/>
        <v>27720</v>
      </c>
      <c r="AG15">
        <f t="shared" si="0"/>
        <v>0</v>
      </c>
      <c r="AH15" s="29">
        <f t="shared" si="1"/>
        <v>0</v>
      </c>
      <c r="AI15" s="20" t="e">
        <f t="shared" si="7"/>
        <v>#DIV/0!</v>
      </c>
    </row>
    <row r="16" spans="1:36" x14ac:dyDescent="0.25">
      <c r="D16" s="4">
        <v>11</v>
      </c>
      <c r="E16" s="3">
        <f t="shared" si="4"/>
        <v>16560</v>
      </c>
      <c r="F16" s="1">
        <f t="shared" si="5"/>
        <v>2160</v>
      </c>
      <c r="G16" s="1">
        <f t="shared" si="5"/>
        <v>2880</v>
      </c>
      <c r="H16" s="1">
        <f t="shared" si="5"/>
        <v>3600</v>
      </c>
      <c r="I16" s="1">
        <f t="shared" si="5"/>
        <v>4320</v>
      </c>
      <c r="J16" s="1">
        <f t="shared" si="2"/>
        <v>5760</v>
      </c>
      <c r="K16" s="1">
        <f t="shared" si="2"/>
        <v>6480</v>
      </c>
      <c r="L16" s="1">
        <f t="shared" ref="J16:R21" si="8">$B$5*($D16+1)*(60/$B$3) + $B$4*($D16+1)*(60/$B$3) *L$4</f>
        <v>7200</v>
      </c>
      <c r="M16" s="1">
        <f t="shared" si="8"/>
        <v>7920</v>
      </c>
      <c r="N16" s="1">
        <f t="shared" si="8"/>
        <v>8640</v>
      </c>
      <c r="O16" s="1">
        <f t="shared" si="8"/>
        <v>9360</v>
      </c>
      <c r="P16" s="1">
        <f t="shared" si="8"/>
        <v>10080</v>
      </c>
      <c r="Q16" s="1">
        <f t="shared" si="8"/>
        <v>10800</v>
      </c>
      <c r="R16" s="1">
        <f t="shared" si="8"/>
        <v>11520</v>
      </c>
      <c r="S16" s="1">
        <f t="shared" si="2"/>
        <v>12240</v>
      </c>
      <c r="T16" s="1">
        <f t="shared" si="6"/>
        <v>15840</v>
      </c>
      <c r="U16" s="1">
        <f t="shared" si="3"/>
        <v>16560</v>
      </c>
      <c r="V16" s="2">
        <f t="shared" si="3"/>
        <v>17280</v>
      </c>
      <c r="W16" s="4">
        <f t="shared" si="2"/>
        <v>18000</v>
      </c>
      <c r="X16" s="3">
        <f t="shared" si="2"/>
        <v>19440</v>
      </c>
      <c r="Y16" s="1">
        <f t="shared" si="2"/>
        <v>23040</v>
      </c>
      <c r="Z16" s="1">
        <f t="shared" si="2"/>
        <v>26640</v>
      </c>
      <c r="AA16" s="9">
        <f t="shared" si="2"/>
        <v>30240</v>
      </c>
      <c r="AG16">
        <f t="shared" si="0"/>
        <v>0</v>
      </c>
      <c r="AH16" s="29">
        <f t="shared" si="1"/>
        <v>0</v>
      </c>
      <c r="AI16" s="20" t="e">
        <f t="shared" si="7"/>
        <v>#DIV/0!</v>
      </c>
    </row>
    <row r="17" spans="4:35" x14ac:dyDescent="0.25">
      <c r="D17" s="4">
        <v>12</v>
      </c>
      <c r="E17" s="3">
        <f t="shared" si="4"/>
        <v>17940</v>
      </c>
      <c r="F17" s="1">
        <f t="shared" si="5"/>
        <v>2340</v>
      </c>
      <c r="G17" s="1">
        <f t="shared" si="5"/>
        <v>3120</v>
      </c>
      <c r="H17" s="1">
        <f t="shared" si="5"/>
        <v>3900</v>
      </c>
      <c r="I17" s="1">
        <f t="shared" si="5"/>
        <v>4680</v>
      </c>
      <c r="J17" s="1">
        <f t="shared" si="8"/>
        <v>6240</v>
      </c>
      <c r="K17" s="1">
        <f t="shared" si="8"/>
        <v>7020</v>
      </c>
      <c r="L17" s="1">
        <f t="shared" si="8"/>
        <v>7800</v>
      </c>
      <c r="M17" s="1">
        <f t="shared" si="8"/>
        <v>8580</v>
      </c>
      <c r="N17" s="1">
        <f t="shared" si="8"/>
        <v>9360</v>
      </c>
      <c r="O17" s="1">
        <f t="shared" si="8"/>
        <v>10140</v>
      </c>
      <c r="P17" s="1">
        <f t="shared" si="8"/>
        <v>10920</v>
      </c>
      <c r="Q17" s="1">
        <f t="shared" si="8"/>
        <v>11700</v>
      </c>
      <c r="R17" s="1">
        <f t="shared" si="8"/>
        <v>12480</v>
      </c>
      <c r="S17" s="1">
        <f t="shared" si="2"/>
        <v>13260</v>
      </c>
      <c r="T17" s="1">
        <f t="shared" si="6"/>
        <v>17160</v>
      </c>
      <c r="U17" s="1">
        <f t="shared" si="3"/>
        <v>17940</v>
      </c>
      <c r="V17" s="2">
        <f t="shared" si="3"/>
        <v>18720</v>
      </c>
      <c r="W17" s="4">
        <f t="shared" si="2"/>
        <v>19500</v>
      </c>
      <c r="X17" s="3">
        <f t="shared" si="2"/>
        <v>21060</v>
      </c>
      <c r="Y17" s="1">
        <f t="shared" si="2"/>
        <v>24960</v>
      </c>
      <c r="Z17" s="1">
        <f t="shared" si="2"/>
        <v>28860</v>
      </c>
      <c r="AA17" s="9">
        <f t="shared" si="2"/>
        <v>32760</v>
      </c>
      <c r="AG17">
        <f t="shared" si="0"/>
        <v>0</v>
      </c>
      <c r="AH17" s="29">
        <f t="shared" si="1"/>
        <v>0</v>
      </c>
      <c r="AI17" s="20" t="e">
        <f t="shared" si="7"/>
        <v>#DIV/0!</v>
      </c>
    </row>
    <row r="18" spans="4:35" x14ac:dyDescent="0.25">
      <c r="D18" s="4">
        <v>13</v>
      </c>
      <c r="E18" s="3">
        <f t="shared" si="4"/>
        <v>19320</v>
      </c>
      <c r="F18" s="1">
        <f t="shared" si="5"/>
        <v>2520</v>
      </c>
      <c r="G18" s="1">
        <f t="shared" si="5"/>
        <v>3360</v>
      </c>
      <c r="H18" s="1">
        <f t="shared" si="5"/>
        <v>4200</v>
      </c>
      <c r="I18" s="1">
        <f t="shared" si="5"/>
        <v>5040</v>
      </c>
      <c r="J18" s="1">
        <f t="shared" si="8"/>
        <v>6720</v>
      </c>
      <c r="K18" s="1">
        <f t="shared" si="8"/>
        <v>7560</v>
      </c>
      <c r="L18" s="1">
        <f t="shared" si="8"/>
        <v>8400</v>
      </c>
      <c r="M18" s="1">
        <f t="shared" si="8"/>
        <v>9240</v>
      </c>
      <c r="N18" s="1">
        <f t="shared" si="8"/>
        <v>10080</v>
      </c>
      <c r="O18" s="1">
        <f t="shared" si="8"/>
        <v>10920</v>
      </c>
      <c r="P18" s="1">
        <f t="shared" si="8"/>
        <v>11760</v>
      </c>
      <c r="Q18" s="1">
        <f t="shared" si="8"/>
        <v>12600</v>
      </c>
      <c r="R18" s="1">
        <f t="shared" si="8"/>
        <v>13440</v>
      </c>
      <c r="S18" s="1">
        <f t="shared" si="2"/>
        <v>14280</v>
      </c>
      <c r="T18" s="1">
        <f t="shared" si="6"/>
        <v>18480</v>
      </c>
      <c r="U18" s="1">
        <f t="shared" si="3"/>
        <v>19320</v>
      </c>
      <c r="V18" s="2">
        <f t="shared" si="3"/>
        <v>20160</v>
      </c>
      <c r="W18" s="4">
        <f t="shared" si="2"/>
        <v>21000</v>
      </c>
      <c r="X18" s="3">
        <f t="shared" si="2"/>
        <v>22680</v>
      </c>
      <c r="Y18" s="1">
        <f t="shared" si="2"/>
        <v>26880</v>
      </c>
      <c r="Z18" s="1">
        <f t="shared" si="2"/>
        <v>31080</v>
      </c>
      <c r="AA18" s="9">
        <f t="shared" si="2"/>
        <v>35280</v>
      </c>
      <c r="AG18">
        <f t="shared" si="0"/>
        <v>0</v>
      </c>
      <c r="AH18" s="29">
        <f t="shared" si="1"/>
        <v>0</v>
      </c>
      <c r="AI18" s="20" t="e">
        <f t="shared" si="7"/>
        <v>#DIV/0!</v>
      </c>
    </row>
    <row r="19" spans="4:35" x14ac:dyDescent="0.25">
      <c r="D19" s="4">
        <v>14</v>
      </c>
      <c r="E19" s="3">
        <f t="shared" si="4"/>
        <v>20700</v>
      </c>
      <c r="F19" s="1">
        <f t="shared" si="5"/>
        <v>2700</v>
      </c>
      <c r="G19" s="1">
        <f t="shared" si="5"/>
        <v>3600</v>
      </c>
      <c r="H19" s="1">
        <f t="shared" si="5"/>
        <v>4500</v>
      </c>
      <c r="I19" s="1">
        <f t="shared" si="5"/>
        <v>5400</v>
      </c>
      <c r="J19" s="1">
        <f t="shared" si="8"/>
        <v>7200</v>
      </c>
      <c r="K19" s="1">
        <f t="shared" si="8"/>
        <v>8100</v>
      </c>
      <c r="L19" s="1">
        <f t="shared" si="8"/>
        <v>9000</v>
      </c>
      <c r="M19" s="1">
        <f t="shared" si="8"/>
        <v>9900</v>
      </c>
      <c r="N19" s="1">
        <f t="shared" si="8"/>
        <v>10800</v>
      </c>
      <c r="O19" s="1">
        <f t="shared" si="8"/>
        <v>11700</v>
      </c>
      <c r="P19" s="1">
        <f t="shared" si="8"/>
        <v>12600</v>
      </c>
      <c r="Q19" s="1">
        <f t="shared" si="8"/>
        <v>13500</v>
      </c>
      <c r="R19" s="1">
        <f t="shared" si="8"/>
        <v>14400</v>
      </c>
      <c r="S19" s="1">
        <f t="shared" si="2"/>
        <v>15300</v>
      </c>
      <c r="T19" s="1">
        <f t="shared" si="6"/>
        <v>19800</v>
      </c>
      <c r="U19" s="1">
        <f t="shared" si="3"/>
        <v>20700</v>
      </c>
      <c r="V19" s="2">
        <f t="shared" si="3"/>
        <v>21600</v>
      </c>
      <c r="W19" s="4">
        <f t="shared" si="2"/>
        <v>22500</v>
      </c>
      <c r="X19" s="3">
        <f t="shared" si="2"/>
        <v>24300</v>
      </c>
      <c r="Y19" s="1">
        <f t="shared" si="2"/>
        <v>28800</v>
      </c>
      <c r="Z19" s="1">
        <f t="shared" si="2"/>
        <v>33300</v>
      </c>
      <c r="AA19" s="9">
        <f t="shared" si="2"/>
        <v>37800</v>
      </c>
      <c r="AG19">
        <f t="shared" si="0"/>
        <v>0</v>
      </c>
      <c r="AH19" s="29">
        <f t="shared" si="1"/>
        <v>0</v>
      </c>
      <c r="AI19" s="20" t="e">
        <f t="shared" si="7"/>
        <v>#DIV/0!</v>
      </c>
    </row>
    <row r="20" spans="4:35" x14ac:dyDescent="0.25">
      <c r="D20" s="4">
        <v>15</v>
      </c>
      <c r="E20" s="3">
        <f t="shared" si="4"/>
        <v>22080</v>
      </c>
      <c r="F20" s="1">
        <f t="shared" si="5"/>
        <v>2880</v>
      </c>
      <c r="G20" s="1">
        <f t="shared" si="5"/>
        <v>3840</v>
      </c>
      <c r="H20" s="1">
        <f t="shared" si="5"/>
        <v>4800</v>
      </c>
      <c r="I20" s="1">
        <f t="shared" si="5"/>
        <v>5760</v>
      </c>
      <c r="J20" s="1">
        <f t="shared" si="8"/>
        <v>7680</v>
      </c>
      <c r="K20" s="1">
        <f t="shared" si="8"/>
        <v>8640</v>
      </c>
      <c r="L20" s="1">
        <f t="shared" si="8"/>
        <v>9600</v>
      </c>
      <c r="M20" s="1">
        <f t="shared" si="8"/>
        <v>10560</v>
      </c>
      <c r="N20" s="1">
        <f t="shared" si="8"/>
        <v>11520</v>
      </c>
      <c r="O20" s="1">
        <f t="shared" si="8"/>
        <v>12480</v>
      </c>
      <c r="P20" s="1">
        <f t="shared" si="8"/>
        <v>13440</v>
      </c>
      <c r="Q20" s="1">
        <f t="shared" si="8"/>
        <v>14400</v>
      </c>
      <c r="R20" s="1">
        <f t="shared" si="8"/>
        <v>15360</v>
      </c>
      <c r="S20" s="1">
        <f t="shared" si="2"/>
        <v>16320</v>
      </c>
      <c r="T20" s="1">
        <f t="shared" si="6"/>
        <v>21120</v>
      </c>
      <c r="U20" s="1">
        <f t="shared" si="3"/>
        <v>22080</v>
      </c>
      <c r="V20" s="2">
        <f t="shared" si="3"/>
        <v>23040</v>
      </c>
      <c r="W20" s="4">
        <f t="shared" si="2"/>
        <v>24000</v>
      </c>
      <c r="X20" s="3">
        <f t="shared" si="2"/>
        <v>25920</v>
      </c>
      <c r="Y20" s="1">
        <f t="shared" si="2"/>
        <v>30720</v>
      </c>
      <c r="Z20" s="1">
        <f t="shared" si="2"/>
        <v>35520</v>
      </c>
      <c r="AA20" s="9">
        <f t="shared" si="2"/>
        <v>40320</v>
      </c>
      <c r="AG20">
        <f t="shared" si="0"/>
        <v>0</v>
      </c>
      <c r="AH20" s="29">
        <f t="shared" si="1"/>
        <v>0</v>
      </c>
      <c r="AI20" s="20" t="e">
        <f t="shared" si="7"/>
        <v>#DIV/0!</v>
      </c>
    </row>
    <row r="21" spans="4:35" x14ac:dyDescent="0.25">
      <c r="D21" s="4">
        <v>16</v>
      </c>
      <c r="E21" s="3">
        <f t="shared" si="4"/>
        <v>23460</v>
      </c>
      <c r="F21" s="1">
        <f t="shared" si="5"/>
        <v>3060</v>
      </c>
      <c r="G21" s="1">
        <f t="shared" si="5"/>
        <v>4080</v>
      </c>
      <c r="H21" s="1">
        <f t="shared" si="5"/>
        <v>5100</v>
      </c>
      <c r="I21" s="1">
        <f t="shared" si="5"/>
        <v>6120</v>
      </c>
      <c r="J21" s="1">
        <f t="shared" si="8"/>
        <v>8160</v>
      </c>
      <c r="K21" s="1">
        <f t="shared" si="8"/>
        <v>9180</v>
      </c>
      <c r="L21" s="1">
        <f t="shared" si="8"/>
        <v>10200</v>
      </c>
      <c r="M21" s="1">
        <f t="shared" si="8"/>
        <v>11220</v>
      </c>
      <c r="N21" s="1">
        <f t="shared" si="8"/>
        <v>12240</v>
      </c>
      <c r="O21" s="1">
        <f t="shared" si="8"/>
        <v>13260</v>
      </c>
      <c r="P21" s="1">
        <f t="shared" si="8"/>
        <v>14280</v>
      </c>
      <c r="Q21" s="1">
        <f t="shared" si="8"/>
        <v>15300</v>
      </c>
      <c r="R21" s="1">
        <f t="shared" si="8"/>
        <v>16320</v>
      </c>
      <c r="S21" s="1">
        <f t="shared" si="5"/>
        <v>17340</v>
      </c>
      <c r="T21" s="1">
        <f t="shared" si="6"/>
        <v>22440</v>
      </c>
      <c r="U21" s="1">
        <f t="shared" si="6"/>
        <v>23460</v>
      </c>
      <c r="V21" s="2">
        <f t="shared" si="6"/>
        <v>24480</v>
      </c>
      <c r="W21" s="4">
        <f t="shared" si="5"/>
        <v>25500</v>
      </c>
      <c r="X21" s="3">
        <f t="shared" si="5"/>
        <v>27540</v>
      </c>
      <c r="Y21" s="1">
        <f t="shared" si="5"/>
        <v>32640</v>
      </c>
      <c r="Z21" s="1">
        <f t="shared" si="5"/>
        <v>37740</v>
      </c>
      <c r="AA21" s="9">
        <f t="shared" si="5"/>
        <v>42840</v>
      </c>
      <c r="AG21">
        <f t="shared" si="0"/>
        <v>0</v>
      </c>
      <c r="AH21" s="29">
        <f t="shared" si="1"/>
        <v>0</v>
      </c>
      <c r="AI21" s="20" t="e">
        <f t="shared" si="7"/>
        <v>#DIV/0!</v>
      </c>
    </row>
    <row r="22" spans="4:35" ht="15.75" thickBot="1" x14ac:dyDescent="0.3">
      <c r="D22" s="5">
        <v>17</v>
      </c>
      <c r="E22" s="19">
        <f t="shared" si="4"/>
        <v>24840</v>
      </c>
      <c r="F22" s="16">
        <f t="shared" si="5"/>
        <v>3240</v>
      </c>
      <c r="G22" s="16">
        <f t="shared" si="5"/>
        <v>4320</v>
      </c>
      <c r="H22" s="16">
        <f t="shared" si="5"/>
        <v>5400</v>
      </c>
      <c r="I22" s="16">
        <f t="shared" si="5"/>
        <v>6480</v>
      </c>
      <c r="J22" s="16">
        <f t="shared" si="5"/>
        <v>8640</v>
      </c>
      <c r="K22" s="16">
        <f t="shared" si="5"/>
        <v>9720</v>
      </c>
      <c r="L22" s="16">
        <f t="shared" si="5"/>
        <v>10800</v>
      </c>
      <c r="M22" s="16">
        <f t="shared" si="5"/>
        <v>11880</v>
      </c>
      <c r="N22" s="16">
        <f t="shared" si="5"/>
        <v>12960</v>
      </c>
      <c r="O22" s="16">
        <f t="shared" si="5"/>
        <v>14040</v>
      </c>
      <c r="P22" s="16">
        <f t="shared" si="5"/>
        <v>15120</v>
      </c>
      <c r="Q22" s="16">
        <f t="shared" si="5"/>
        <v>16200</v>
      </c>
      <c r="R22" s="16">
        <f t="shared" si="5"/>
        <v>17280</v>
      </c>
      <c r="S22" s="16">
        <f t="shared" si="5"/>
        <v>18360</v>
      </c>
      <c r="T22" s="16">
        <f t="shared" si="6"/>
        <v>23760</v>
      </c>
      <c r="U22" s="16">
        <f t="shared" si="6"/>
        <v>24840</v>
      </c>
      <c r="V22" s="17">
        <f t="shared" si="6"/>
        <v>25920</v>
      </c>
      <c r="W22" s="5">
        <f t="shared" si="5"/>
        <v>27000</v>
      </c>
      <c r="X22" s="19">
        <f t="shared" si="5"/>
        <v>29160</v>
      </c>
      <c r="Y22" s="16">
        <f t="shared" si="5"/>
        <v>34560</v>
      </c>
      <c r="Z22" s="16">
        <f t="shared" si="5"/>
        <v>39960</v>
      </c>
      <c r="AA22" s="11">
        <f t="shared" si="5"/>
        <v>45360</v>
      </c>
      <c r="AG22">
        <f t="shared" si="0"/>
        <v>0</v>
      </c>
      <c r="AH22" s="29">
        <f t="shared" si="1"/>
        <v>0</v>
      </c>
      <c r="AI22" s="20" t="e">
        <f t="shared" si="7"/>
        <v>#DIV/0!</v>
      </c>
    </row>
    <row r="23" spans="4:35" x14ac:dyDescent="0.25">
      <c r="D23" s="14">
        <v>18</v>
      </c>
      <c r="E23" s="15">
        <f t="shared" si="4"/>
        <v>26220</v>
      </c>
      <c r="F23" s="12">
        <f t="shared" si="5"/>
        <v>3420</v>
      </c>
      <c r="G23" s="12">
        <f t="shared" si="5"/>
        <v>4560</v>
      </c>
      <c r="H23" s="12">
        <f t="shared" si="5"/>
        <v>5700</v>
      </c>
      <c r="I23" s="12">
        <f t="shared" si="5"/>
        <v>6840</v>
      </c>
      <c r="J23" s="12">
        <f t="shared" si="5"/>
        <v>9120</v>
      </c>
      <c r="K23" s="12">
        <f t="shared" si="5"/>
        <v>10260</v>
      </c>
      <c r="L23" s="12">
        <f t="shared" si="5"/>
        <v>11400</v>
      </c>
      <c r="M23" s="12">
        <f t="shared" si="5"/>
        <v>12540</v>
      </c>
      <c r="N23" s="12">
        <f t="shared" si="5"/>
        <v>13680</v>
      </c>
      <c r="O23" s="12">
        <f t="shared" si="5"/>
        <v>14820</v>
      </c>
      <c r="P23" s="12">
        <f t="shared" si="5"/>
        <v>15960</v>
      </c>
      <c r="Q23" s="12">
        <f t="shared" si="5"/>
        <v>17100</v>
      </c>
      <c r="R23" s="12">
        <f t="shared" si="5"/>
        <v>18240</v>
      </c>
      <c r="S23" s="12">
        <f t="shared" si="5"/>
        <v>19380</v>
      </c>
      <c r="T23" s="12">
        <f t="shared" si="6"/>
        <v>25080</v>
      </c>
      <c r="U23" s="12">
        <f t="shared" si="6"/>
        <v>26220</v>
      </c>
      <c r="V23" s="13">
        <f t="shared" si="6"/>
        <v>27360</v>
      </c>
      <c r="W23" s="14">
        <f t="shared" si="5"/>
        <v>28500</v>
      </c>
      <c r="X23" s="15">
        <f t="shared" si="5"/>
        <v>30780</v>
      </c>
      <c r="Y23" s="12">
        <f t="shared" si="5"/>
        <v>36480</v>
      </c>
      <c r="Z23" s="12">
        <f t="shared" si="5"/>
        <v>42180</v>
      </c>
      <c r="AA23" s="25">
        <f t="shared" si="5"/>
        <v>47880</v>
      </c>
      <c r="AG23">
        <f t="shared" si="0"/>
        <v>0</v>
      </c>
      <c r="AH23" s="29">
        <f t="shared" si="1"/>
        <v>0</v>
      </c>
      <c r="AI23" s="20" t="e">
        <f t="shared" si="7"/>
        <v>#DIV/0!</v>
      </c>
    </row>
    <row r="24" spans="4:35" x14ac:dyDescent="0.25">
      <c r="D24" s="4">
        <v>19</v>
      </c>
      <c r="E24" s="3">
        <f t="shared" si="4"/>
        <v>27600</v>
      </c>
      <c r="F24" s="1">
        <f t="shared" si="5"/>
        <v>3600</v>
      </c>
      <c r="G24" s="1">
        <f t="shared" si="5"/>
        <v>4800</v>
      </c>
      <c r="H24" s="1">
        <f t="shared" si="5"/>
        <v>6000</v>
      </c>
      <c r="I24" s="1">
        <f t="shared" si="5"/>
        <v>7200</v>
      </c>
      <c r="J24" s="1">
        <f t="shared" si="5"/>
        <v>9600</v>
      </c>
      <c r="K24" s="1">
        <f t="shared" si="5"/>
        <v>10800</v>
      </c>
      <c r="L24" s="1">
        <f t="shared" si="5"/>
        <v>12000</v>
      </c>
      <c r="M24" s="1">
        <f t="shared" si="5"/>
        <v>13200</v>
      </c>
      <c r="N24" s="1">
        <f t="shared" si="5"/>
        <v>14400</v>
      </c>
      <c r="O24" s="1">
        <f t="shared" si="5"/>
        <v>15600</v>
      </c>
      <c r="P24" s="1">
        <f t="shared" si="5"/>
        <v>16800</v>
      </c>
      <c r="Q24" s="1">
        <f t="shared" si="5"/>
        <v>18000</v>
      </c>
      <c r="R24" s="1">
        <f t="shared" si="5"/>
        <v>19200</v>
      </c>
      <c r="S24" s="1">
        <f t="shared" si="5"/>
        <v>20400</v>
      </c>
      <c r="T24" s="1">
        <f t="shared" si="6"/>
        <v>26400</v>
      </c>
      <c r="U24" s="1">
        <f t="shared" si="6"/>
        <v>27600</v>
      </c>
      <c r="V24" s="2">
        <f t="shared" si="6"/>
        <v>28800</v>
      </c>
      <c r="W24" s="4">
        <f t="shared" si="5"/>
        <v>30000</v>
      </c>
      <c r="X24" s="3">
        <f t="shared" si="5"/>
        <v>32400</v>
      </c>
      <c r="Y24" s="1">
        <f t="shared" si="5"/>
        <v>38400</v>
      </c>
      <c r="Z24" s="1">
        <f t="shared" si="5"/>
        <v>44400</v>
      </c>
      <c r="AA24" s="9">
        <f t="shared" si="5"/>
        <v>50400</v>
      </c>
      <c r="AG24">
        <f t="shared" si="0"/>
        <v>0</v>
      </c>
      <c r="AH24" s="29">
        <f t="shared" si="1"/>
        <v>0</v>
      </c>
      <c r="AI24" s="20" t="e">
        <f t="shared" si="7"/>
        <v>#DIV/0!</v>
      </c>
    </row>
    <row r="25" spans="4:35" x14ac:dyDescent="0.25">
      <c r="D25" s="4">
        <v>20</v>
      </c>
      <c r="E25" s="3">
        <f t="shared" si="4"/>
        <v>28980</v>
      </c>
      <c r="F25" s="1">
        <f t="shared" si="5"/>
        <v>3780</v>
      </c>
      <c r="G25" s="1">
        <f t="shared" si="5"/>
        <v>5040</v>
      </c>
      <c r="H25" s="1">
        <f t="shared" si="5"/>
        <v>6300</v>
      </c>
      <c r="I25" s="1">
        <f t="shared" si="5"/>
        <v>7560</v>
      </c>
      <c r="J25" s="1">
        <f t="shared" si="5"/>
        <v>10080</v>
      </c>
      <c r="K25" s="1">
        <f t="shared" si="5"/>
        <v>11340</v>
      </c>
      <c r="L25" s="1">
        <f t="shared" si="5"/>
        <v>12600</v>
      </c>
      <c r="M25" s="1">
        <f t="shared" si="5"/>
        <v>13860</v>
      </c>
      <c r="N25" s="1">
        <f t="shared" si="5"/>
        <v>15120</v>
      </c>
      <c r="O25" s="1">
        <f t="shared" si="5"/>
        <v>16380</v>
      </c>
      <c r="P25" s="1">
        <f t="shared" si="5"/>
        <v>17640</v>
      </c>
      <c r="Q25" s="1">
        <f t="shared" si="5"/>
        <v>18900</v>
      </c>
      <c r="R25" s="1">
        <f t="shared" si="5"/>
        <v>20160</v>
      </c>
      <c r="S25" s="1">
        <f t="shared" si="5"/>
        <v>21420</v>
      </c>
      <c r="T25" s="1">
        <f t="shared" si="6"/>
        <v>27720</v>
      </c>
      <c r="U25" s="1">
        <f t="shared" si="6"/>
        <v>28980</v>
      </c>
      <c r="V25" s="2">
        <f t="shared" si="6"/>
        <v>30240</v>
      </c>
      <c r="W25" s="4">
        <f t="shared" si="5"/>
        <v>31500</v>
      </c>
      <c r="X25" s="3">
        <f t="shared" si="5"/>
        <v>34020</v>
      </c>
      <c r="Y25" s="1">
        <f t="shared" si="5"/>
        <v>40320</v>
      </c>
      <c r="Z25" s="1">
        <f t="shared" si="5"/>
        <v>46620</v>
      </c>
      <c r="AA25" s="9">
        <f t="shared" si="5"/>
        <v>52920</v>
      </c>
      <c r="AG25">
        <f t="shared" si="0"/>
        <v>0</v>
      </c>
      <c r="AH25" s="29">
        <f t="shared" si="1"/>
        <v>0</v>
      </c>
      <c r="AI25" s="20" t="e">
        <f t="shared" si="7"/>
        <v>#DIV/0!</v>
      </c>
    </row>
    <row r="26" spans="4:35" x14ac:dyDescent="0.25">
      <c r="D26" s="4">
        <v>21</v>
      </c>
      <c r="E26" s="3">
        <f t="shared" si="4"/>
        <v>30360</v>
      </c>
      <c r="F26" s="1">
        <f t="shared" si="5"/>
        <v>3960</v>
      </c>
      <c r="G26" s="1">
        <f t="shared" si="5"/>
        <v>5280</v>
      </c>
      <c r="H26" s="1">
        <f t="shared" si="5"/>
        <v>6600</v>
      </c>
      <c r="I26" s="1">
        <f t="shared" si="5"/>
        <v>7920</v>
      </c>
      <c r="J26" s="1">
        <f t="shared" si="5"/>
        <v>10560</v>
      </c>
      <c r="K26" s="1">
        <f t="shared" si="5"/>
        <v>11880</v>
      </c>
      <c r="L26" s="1">
        <f t="shared" si="5"/>
        <v>13200</v>
      </c>
      <c r="M26" s="1">
        <f t="shared" si="5"/>
        <v>14520</v>
      </c>
      <c r="N26" s="1">
        <f t="shared" si="5"/>
        <v>15840</v>
      </c>
      <c r="O26" s="1">
        <f t="shared" si="5"/>
        <v>17160</v>
      </c>
      <c r="P26" s="1">
        <f t="shared" si="5"/>
        <v>18480</v>
      </c>
      <c r="Q26" s="1">
        <f t="shared" si="5"/>
        <v>19800</v>
      </c>
      <c r="R26" s="1">
        <f t="shared" si="5"/>
        <v>21120</v>
      </c>
      <c r="S26" s="1">
        <f t="shared" si="5"/>
        <v>22440</v>
      </c>
      <c r="T26" s="1">
        <f t="shared" si="6"/>
        <v>29040</v>
      </c>
      <c r="U26" s="1">
        <f t="shared" si="6"/>
        <v>30360</v>
      </c>
      <c r="V26" s="2">
        <f t="shared" si="6"/>
        <v>31680</v>
      </c>
      <c r="W26" s="4">
        <f t="shared" si="5"/>
        <v>33000</v>
      </c>
      <c r="X26" s="3">
        <f t="shared" si="5"/>
        <v>35640</v>
      </c>
      <c r="Y26" s="1">
        <f t="shared" si="5"/>
        <v>42240</v>
      </c>
      <c r="Z26" s="1">
        <f t="shared" si="5"/>
        <v>48840</v>
      </c>
      <c r="AA26" s="9">
        <f t="shared" si="5"/>
        <v>55440</v>
      </c>
      <c r="AG26">
        <f t="shared" si="0"/>
        <v>0</v>
      </c>
      <c r="AH26" s="29">
        <f t="shared" si="1"/>
        <v>0</v>
      </c>
      <c r="AI26" s="20" t="e">
        <f t="shared" si="7"/>
        <v>#DIV/0!</v>
      </c>
    </row>
    <row r="27" spans="4:35" x14ac:dyDescent="0.25">
      <c r="D27" s="4">
        <v>22</v>
      </c>
      <c r="E27" s="3">
        <f t="shared" si="4"/>
        <v>31740</v>
      </c>
      <c r="F27" s="1">
        <f t="shared" si="5"/>
        <v>4140</v>
      </c>
      <c r="G27" s="1">
        <f t="shared" si="5"/>
        <v>5520</v>
      </c>
      <c r="H27" s="1">
        <f t="shared" si="5"/>
        <v>6900</v>
      </c>
      <c r="I27" s="1">
        <f t="shared" si="5"/>
        <v>8280</v>
      </c>
      <c r="J27" s="1">
        <f t="shared" si="5"/>
        <v>11040</v>
      </c>
      <c r="K27" s="1">
        <f t="shared" si="5"/>
        <v>12420</v>
      </c>
      <c r="L27" s="1">
        <f t="shared" si="5"/>
        <v>13800</v>
      </c>
      <c r="M27" s="1">
        <f t="shared" si="5"/>
        <v>15180</v>
      </c>
      <c r="N27" s="1">
        <f t="shared" si="5"/>
        <v>16560</v>
      </c>
      <c r="O27" s="1">
        <f t="shared" si="5"/>
        <v>17940</v>
      </c>
      <c r="P27" s="1">
        <f t="shared" si="5"/>
        <v>19320</v>
      </c>
      <c r="Q27" s="1">
        <f t="shared" si="5"/>
        <v>20700</v>
      </c>
      <c r="R27" s="1">
        <f t="shared" si="5"/>
        <v>22080</v>
      </c>
      <c r="S27" s="1">
        <f t="shared" si="5"/>
        <v>23460</v>
      </c>
      <c r="T27" s="1">
        <f t="shared" si="6"/>
        <v>30360</v>
      </c>
      <c r="U27" s="1">
        <f t="shared" si="6"/>
        <v>31740</v>
      </c>
      <c r="V27" s="2">
        <f t="shared" si="6"/>
        <v>33120</v>
      </c>
      <c r="W27" s="4">
        <f t="shared" si="5"/>
        <v>34500</v>
      </c>
      <c r="X27" s="3">
        <f t="shared" si="5"/>
        <v>37260</v>
      </c>
      <c r="Y27" s="1">
        <f t="shared" si="5"/>
        <v>44160</v>
      </c>
      <c r="Z27" s="1">
        <f t="shared" si="5"/>
        <v>51060</v>
      </c>
      <c r="AA27" s="9">
        <f t="shared" si="5"/>
        <v>57960</v>
      </c>
      <c r="AG27">
        <f t="shared" si="0"/>
        <v>0</v>
      </c>
      <c r="AH27" s="29">
        <f t="shared" si="1"/>
        <v>0</v>
      </c>
      <c r="AI27" s="20" t="e">
        <f t="shared" si="7"/>
        <v>#DIV/0!</v>
      </c>
    </row>
    <row r="28" spans="4:35" ht="15.75" thickBot="1" x14ac:dyDescent="0.3">
      <c r="D28" s="5">
        <v>23</v>
      </c>
      <c r="E28" s="19">
        <f t="shared" si="4"/>
        <v>33120</v>
      </c>
      <c r="F28" s="16">
        <f t="shared" si="5"/>
        <v>4320</v>
      </c>
      <c r="G28" s="16">
        <f t="shared" si="5"/>
        <v>5760</v>
      </c>
      <c r="H28" s="16">
        <f t="shared" si="5"/>
        <v>7200</v>
      </c>
      <c r="I28" s="16">
        <f t="shared" si="5"/>
        <v>8640</v>
      </c>
      <c r="J28" s="16">
        <f t="shared" si="5"/>
        <v>11520</v>
      </c>
      <c r="K28" s="16">
        <f t="shared" si="5"/>
        <v>12960</v>
      </c>
      <c r="L28" s="16">
        <f t="shared" si="5"/>
        <v>14400</v>
      </c>
      <c r="M28" s="16">
        <f t="shared" si="5"/>
        <v>15840</v>
      </c>
      <c r="N28" s="16">
        <f t="shared" si="5"/>
        <v>17280</v>
      </c>
      <c r="O28" s="16">
        <f t="shared" si="5"/>
        <v>18720</v>
      </c>
      <c r="P28" s="16">
        <f t="shared" si="5"/>
        <v>20160</v>
      </c>
      <c r="Q28" s="16">
        <f t="shared" si="5"/>
        <v>21600</v>
      </c>
      <c r="R28" s="16">
        <f t="shared" si="5"/>
        <v>23040</v>
      </c>
      <c r="S28" s="16">
        <f t="shared" si="5"/>
        <v>24480</v>
      </c>
      <c r="T28" s="16">
        <f t="shared" si="6"/>
        <v>31680</v>
      </c>
      <c r="U28" s="16">
        <f t="shared" si="6"/>
        <v>33120</v>
      </c>
      <c r="V28" s="17">
        <f t="shared" si="6"/>
        <v>34560</v>
      </c>
      <c r="W28" s="5">
        <f t="shared" si="5"/>
        <v>36000</v>
      </c>
      <c r="X28" s="19">
        <f t="shared" si="5"/>
        <v>38880</v>
      </c>
      <c r="Y28" s="16">
        <f t="shared" si="5"/>
        <v>46080</v>
      </c>
      <c r="Z28" s="16">
        <f t="shared" si="5"/>
        <v>53280</v>
      </c>
      <c r="AA28" s="11">
        <f t="shared" si="5"/>
        <v>60480</v>
      </c>
      <c r="AG28">
        <f t="shared" si="0"/>
        <v>0</v>
      </c>
      <c r="AH28" s="29">
        <f t="shared" si="1"/>
        <v>0</v>
      </c>
      <c r="AI28" s="20" t="e">
        <f t="shared" si="7"/>
        <v>#DIV/0!</v>
      </c>
    </row>
  </sheetData>
  <mergeCells count="4">
    <mergeCell ref="E3:E4"/>
    <mergeCell ref="F3:AA3"/>
    <mergeCell ref="E2:AA2"/>
    <mergeCell ref="D2:D4"/>
  </mergeCells>
  <conditionalFormatting sqref="E5:AA28">
    <cfRule type="cellIs" dxfId="0" priority="1" operator="greaterThan">
      <formula>4000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Ngo</dc:creator>
  <cp:lastModifiedBy>Laurent Ngo</cp:lastModifiedBy>
  <dcterms:created xsi:type="dcterms:W3CDTF">2026-02-23T09:15:47Z</dcterms:created>
  <dcterms:modified xsi:type="dcterms:W3CDTF">2026-04-10T10:16:54Z</dcterms:modified>
</cp:coreProperties>
</file>